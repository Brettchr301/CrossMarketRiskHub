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_summary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check_ma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RRC</t>
        </is>
      </c>
    </row>
    <row r="2">
      <c r="A2" t="inlineStr">
        <is>
          <t>As of</t>
        </is>
      </c>
      <c r="B2" t="inlineStr">
        <is>
          <t>2026-03-08 01:15:31.636619</t>
        </is>
      </c>
    </row>
    <row r="3">
      <c r="A3" t="inlineStr">
        <is>
          <t>Spot Price</t>
        </is>
      </c>
      <c r="B3" t="n">
        <v>41.4900016784668</v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EV P05</t>
        </is>
      </c>
      <c r="B6" t="n">
        <v>8283722248.141661</v>
      </c>
    </row>
    <row r="7">
      <c r="A7" t="inlineStr">
        <is>
          <t>EV P50</t>
        </is>
      </c>
      <c r="B7" t="n">
        <v>25891171048.69273</v>
      </c>
    </row>
    <row r="8">
      <c r="A8" t="inlineStr">
        <is>
          <t>EV P95</t>
        </is>
      </c>
      <c r="B8" t="n">
        <v>50712420078.81686</v>
      </c>
    </row>
    <row r="9">
      <c r="A9" t="inlineStr">
        <is>
          <t>Equity/Share P05</t>
        </is>
      </c>
      <c r="B9" t="n">
        <v>40.25786543280889</v>
      </c>
    </row>
    <row r="10">
      <c r="A10" t="inlineStr">
        <is>
          <t>Equity/Share P50</t>
        </is>
      </c>
      <c r="B10" t="n">
        <v>47.68918135656546</v>
      </c>
    </row>
    <row r="11">
      <c r="A11" t="inlineStr">
        <is>
          <t>Equity/Share P95</t>
        </is>
      </c>
      <c r="B11" t="n">
        <v>58.16511942428346</v>
      </c>
    </row>
    <row r="12">
      <c r="A12" t="inlineStr">
        <is>
          <t>Expected Return Net Cost</t>
        </is>
      </c>
      <c r="B12" t="n">
        <v>0.1418823140066146</v>
      </c>
    </row>
    <row r="13">
      <c r="A13" t="inlineStr">
        <is>
          <t>Downside P05</t>
        </is>
      </c>
      <c r="B13" t="n">
        <v>-0.02969718476288664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Guidance Period</t>
        </is>
      </c>
      <c r="B2" t="inlineStr">
        <is>
          <t>2026Q1</t>
        </is>
      </c>
    </row>
    <row r="3">
      <c r="A3" t="inlineStr">
        <is>
          <t>Production</t>
        </is>
      </c>
      <c r="B3" t="n">
        <v>103372.8052476129</v>
      </c>
    </row>
    <row r="4">
      <c r="A4" t="inlineStr">
        <is>
          <t>Costs (aggregate)</t>
        </is>
      </c>
      <c r="B4" t="n">
        <v>199064059.9610582</v>
      </c>
    </row>
    <row r="5">
      <c r="A5" t="inlineStr">
        <is>
          <t>Capex</t>
        </is>
      </c>
      <c r="B5" t="n">
        <v>613556000</v>
      </c>
    </row>
    <row r="6">
      <c r="A6" t="inlineStr">
        <is>
          <t>Debt</t>
        </is>
      </c>
      <c r="B6" t="n">
        <v>1372627000</v>
      </c>
    </row>
    <row r="7">
      <c r="A7" t="inlineStr">
        <is>
          <t>Interest Rate</t>
        </is>
      </c>
      <c r="B7" t="n">
        <v>0.07189717235636484</v>
      </c>
    </row>
    <row r="8">
      <c r="A8" t="inlineStr">
        <is>
          <t>Hedge Ratio</t>
        </is>
      </c>
      <c r="B8" t="n">
        <v>0.384475295816066</v>
      </c>
    </row>
    <row r="9">
      <c r="A9" t="inlineStr">
        <is>
          <t>Utilization</t>
        </is>
      </c>
      <c r="B9" t="n">
        <v>0.9662098816735736</v>
      </c>
    </row>
    <row r="10">
      <c r="A10" t="inlineStr">
        <is>
          <t>Share Count</t>
        </is>
      </c>
      <c r="B10" t="n">
        <v>236935813</v>
      </c>
    </row>
    <row r="11">
      <c r="A11" t="inlineStr">
        <is>
          <t>Confidence</t>
        </is>
      </c>
      <c r="B11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Formula/Value</t>
        </is>
      </c>
    </row>
    <row r="2">
      <c r="A2" t="inlineStr">
        <is>
          <t>Spot Price</t>
        </is>
      </c>
      <c r="B2" t="n">
        <v>41.4900016784668</v>
      </c>
    </row>
    <row r="3">
      <c r="A3" t="inlineStr">
        <is>
          <t>Equity/Share P50</t>
        </is>
      </c>
      <c r="B3" t="n">
        <v>47.68918135656546</v>
      </c>
    </row>
    <row r="4">
      <c r="A4" t="inlineStr">
        <is>
          <t>Implied Gross Return</t>
        </is>
      </c>
      <c r="B4">
        <f>(B3-B2)/B2</f>
        <v/>
      </c>
    </row>
    <row r="5">
      <c r="A5" t="inlineStr">
        <is>
          <t>Expected Return Net Cost (API)</t>
        </is>
      </c>
      <c r="B5" t="n">
        <v>0.1418823140066146</v>
      </c>
    </row>
    <row r="6">
      <c r="A6" t="inlineStr">
        <is>
          <t>Difference (API - Formula)</t>
        </is>
      </c>
      <c r="B6">
        <f>B5-B4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2026-03-08T02:56:50Z</dcterms:created>
  <dcterms:modified xmlns:dcterms="http://purl.org/dc/terms/" xmlns:xsi="http://www.w3.org/2001/XMLSchema-instance" xsi:type="dcterms:W3CDTF">2026-03-08T02:56:50Z</dcterms:modified>
</cp:coreProperties>
</file>